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128e0b6a3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к пользоваться" sheetId="1" r:id="Rbed23889d7b449b5"/>
    <x:sheet xmlns:r="http://schemas.openxmlformats.org/officeDocument/2006/relationships" name="Параметры" sheetId="2" r:id="R4c64d5ad5cb342d5"/>
    <x:sheet xmlns:r="http://schemas.openxmlformats.org/officeDocument/2006/relationships" name="LoRA" sheetId="3" r:id="R423fee51a3dc4dc7"/>
    <x:sheet xmlns:r="http://schemas.openxmlformats.org/officeDocument/2006/relationships" name="Память" sheetId="4" r:id="R9f03bfca96374c45"/>
    <x:sheet xmlns:r="http://schemas.openxmlformats.org/officeDocument/2006/relationships" name="Ответы" sheetId="5" r:id="R522086e49992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%"/>
    <x:numFmt numFmtId="165" formatCode="#,##0.0"/>
    <x:numFmt numFmtId="166" formatCode="0.0"/>
  </x:numFmts>
  <x:fonts count="6">
    <x:font>
      <x:sz val="11"/>
      <x:color theme="1"/>
      <x:name val="Calibri"/>
    </x:font>
    <x:font>
      <x:b/>
      <x:sz val="14"/>
      <x:color rgb="FF6B21A8"/>
      <x:name val="Calibri"/>
    </x:font>
    <x:font>
      <x:sz val="11"/>
      <x:color rgb="FF1A1A2E"/>
      <x:name val="Calibri"/>
    </x:font>
    <x:font>
      <x:b/>
      <x:sz val="11"/>
      <x:color rgb="FF1A1A2E"/>
      <x:name val="Calibri"/>
    </x:font>
    <x:font>
      <x:i/>
      <x:sz val="9"/>
      <x:color rgb="FF8888AA"/>
      <x:name val="Calibri"/>
    </x:font>
    <x:font>
      <x:sz val="10"/>
      <x:color rgb="FF1A1A2E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E9D5FF"/>
      </x:patternFill>
    </x:fill>
    <x:fill>
      <x:patternFill patternType="solid">
        <x:fgColor rgb="FFFFF9E6"/>
      </x:patternFill>
    </x:fill>
    <x:fill>
      <x:patternFill patternType="solid">
        <x:fgColor rgb="FFF5F0FF"/>
      </x:patternFill>
    </x:fill>
  </x:fills>
  <x:borders count="5">
    <x:border/>
    <x:border>
      <x:left style="thin">
        <x:color rgb="FFD8B4FE"/>
      </x:left>
      <x:right style="thin">
        <x:color rgb="FFD8B4FE"/>
      </x:right>
      <x:top style="thin">
        <x:color rgb="FFD8B4FE"/>
      </x:top>
      <x:bottom style="thin">
        <x:color rgb="FFD8B4FE"/>
      </x:bottom>
    </x:border>
    <x:border>
      <x:left style="thin">
        <x:color rgb="FFD8B4FE"/>
      </x:left>
    </x:border>
    <x:border>
      <x:left style="thin">
        <x:color rgb="FFD8B4FE"/>
      </x:left>
      <x:right style="thin">
        <x:color rgb="FFD8B4FE"/>
      </x:right>
    </x:border>
    <x:border>
      <x:left style="thin">
        <x:color rgb="FFD8B4FE"/>
      </x:left>
      <x:right style="thin">
        <x:color rgb="FFD8B4FE"/>
      </x:right>
      <x:bottom style="thin">
        <x:color rgb="FFD8B4FE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Alignment="1"/>
    <x:xf numFmtId="0" fontId="2" fillId="0" borderId="0" xfId="0" applyAlignment="1"/>
    <x:xf numFmtId="0" fontId="3" fillId="0" borderId="0" xfId="0" applyAlignment="1"/>
    <x:xf numFmtId="0" fontId="1" fillId="0" borderId="0" xfId="0"/>
    <x:xf numFmtId="0" fontId="4" fillId="0" borderId="0" xfId="0"/>
    <x:xf numFmtId="0" fontId="3" fillId="2" borderId="1" xfId="0" applyAlignment="1">
      <x:alignment vertical="center" wrapText="1"/>
    </x:xf>
    <x:xf numFmtId="0" fontId="5" fillId="0" borderId="1" xfId="0"/>
    <x:xf numFmtId="0" fontId="2" fillId="3" borderId="1" xfId="0"/>
    <x:xf numFmtId="3" fontId="2" fillId="4" borderId="1" xfId="0"/>
    <x:xf numFmtId="3" fontId="2" fillId="3" borderId="1" xfId="0"/>
    <x:xf numFmtId="0" fontId="2" fillId="4" borderId="1" xfId="0"/>
    <x:xf numFmtId="10" fontId="2" fillId="4" borderId="1" xfId="0"/>
    <x:xf numFmtId="0" fontId="4" fillId="0" borderId="1" xfId="0"/>
    <x:xf numFmtId="0" fontId="3" fillId="0" borderId="1" xfId="0"/>
    <x:xf numFmtId="3" fontId="3" fillId="4" borderId="1" xfId="0"/>
    <x:xf numFmtId="164" fontId="2" fillId="4" borderId="1" xfId="0"/>
    <x:xf numFmtId="0" fontId="2" fillId="0" borderId="1" xfId="0"/>
    <x:xf numFmtId="165" fontId="2" fillId="3" borderId="1" xfId="0"/>
    <x:xf numFmtId="2" fontId="2" fillId="4" borderId="1" xfId="0"/>
    <x:xf numFmtId="166" fontId="2" fillId="3" borderId="1" xfId="0"/>
    <x:xf numFmtId="0" fontId="0" fillId="0" borderId="4" xfId="0"/>
    <x:xf numFmtId="0" fontId="2" fillId="3" borderId="1" xfId="0" applyAlignment="1">
      <x:alignment horizontal="left"/>
    </x:xf>
    <x:xf numFmtId="0" fontId="2" fillId="0" borderId="1" xfId="0" applyAlignment="1">
      <x:alignment vertical="top" wrapText="1"/>
    </x:xf>
    <x:xf numFmtId="0" fontId="2" fillId="3" borderId="1" xfId="0" applyAlignment="1">
      <x:alignment vertical="top" wrapText="1"/>
    </x:xf>
  </x:cellXfs>
  <x:cellStyles count="1">
    <x:cellStyle name="Normal" xfId="0"/>
  </x:cellStyles>
  <x:dxfs count="2">
    <x:dxf>
      <x:fill>
        <x:patternFill>
          <x:bgColor rgb="00FEE2E2"/>
        </x:patternFill>
      </x:fill>
    </x:dxf>
    <x:dxf>
      <x:fill>
        <x:patternFill>
          <x:bgColor rgb="00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7257e7a174afd" /><Relationship Type="http://schemas.openxmlformats.org/officeDocument/2006/relationships/theme" Target="/xl/theme/theme1.xml" Id="R9ba9cb6a3f664eb8" /><Relationship Type="http://schemas.openxmlformats.org/officeDocument/2006/relationships/sharedStrings" Target="/xl/sharedStrings.xml" Id="R28bcecd45f7b4916" /><Relationship Type="http://schemas.openxmlformats.org/officeDocument/2006/relationships/worksheet" Target="/xl/worksheets/sheet1.xml" Id="Rbed23889d7b449b5" /><Relationship Type="http://schemas.openxmlformats.org/officeDocument/2006/relationships/worksheet" Target="/xl/worksheets/sheet2.xml" Id="R4c64d5ad5cb342d5" /><Relationship Type="http://schemas.openxmlformats.org/officeDocument/2006/relationships/worksheet" Target="/xl/worksheets/sheet3.xml" Id="R423fee51a3dc4dc7" /><Relationship Type="http://schemas.openxmlformats.org/officeDocument/2006/relationships/worksheet" Target="/xl/worksheets/sheet4.xml" Id="R9f03bfca96374c45" /><Relationship Type="http://schemas.openxmlformats.org/officeDocument/2006/relationships/worksheet" Target="/xl/worksheets/sheet5.xml" Id="R522086e499924e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08" customWidth="1"/>
  </x:cols>
  <x:sheetData>
    <x:row r="2">
      <x:c r="B2" s="1" t="inlineStr">
        <x:is>
          <x:t xml:space="preserve">Сводная таблица к ДЗ 2 «Анатомия модели»</x:t>
        </x:is>
      </x:c>
    </x:row>
    <x:row r="3">
      <x:c r="B3" s="2" t="inlineStr">
        <x:is>
          <x:t xml:space="preserve"/>
        </x:is>
      </x:c>
    </x:row>
    <x:row r="4">
      <x:c r="B4" s="2" t="inlineStr">
        <x:is>
          <x:t xml:space="preserve">Жёлтые клетки заполняете вы. Сиреневые считаются формулами — их не трогайте.</x:t>
        </x:is>
      </x:c>
    </x:row>
    <x:row r="5">
      <x:c r="B5" s="2" t="inlineStr">
        <x:is>
          <x:t xml:space="preserve">Числа берутся из вашего docs/report.json и из вывода вашей же программы.</x:t>
        </x:is>
      </x:c>
    </x:row>
    <x:row r="6">
      <x:c r="B6" s="2" t="inlineStr">
        <x:is>
          <x:t xml:space="preserve"/>
        </x:is>
      </x:c>
    </x:row>
    <x:row r="7">
      <x:c r="B7" s="3" t="inlineStr">
        <x:is>
          <x:t xml:space="preserve">Зачем это нужно</x:t>
        </x:is>
      </x:c>
    </x:row>
    <x:row r="8">
      <x:c r="B8" s="2" t="inlineStr">
        <x:is>
          <x:t xml:space="preserve">Код можно сгенерировать и ни разу не посмотреть, что он выдал. Таблицу — нельзя:</x:t>
        </x:is>
      </x:c>
    </x:row>
    <x:row r="9">
      <x:c r="B9" s="2" t="inlineStr">
        <x:is>
          <x:t xml:space="preserve">контрольные суммы считаются здесь, и расхождение подсвечивается красным сразу.</x:t>
        </x:is>
      </x:c>
    </x:row>
    <x:row r="10">
      <x:c r="B10" s="2" t="inlineStr">
        <x:is>
          <x:t xml:space="preserve">Если у вас всё зелёное — вы точно посмотрели на свои числа хотя бы один раз.</x:t>
        </x:is>
      </x:c>
    </x:row>
    <x:row r="11">
      <x:c r="B11" s="2" t="inlineStr">
        <x:is>
          <x:t xml:space="preserve"/>
        </x:is>
      </x:c>
    </x:row>
    <x:row r="12">
      <x:c r="B12" s="3" t="inlineStr">
        <x:is>
          <x:t xml:space="preserve">Что заполнять</x:t>
        </x:is>
      </x:c>
    </x:row>
    <x:row r="13">
      <x:c r="B13" s="2" t="inlineStr">
        <x:is>
          <x:t xml:space="preserve">«Параметры» — таблица модуль → параметры → доля. Сумма обязана сойтись с params_total.</x:t>
        </x:is>
      </x:c>
    </x:row>
    <x:row r="14">
      <x:c r="B14" s="2" t="inlineStr">
        <x:is>
          <x:t xml:space="preserve">«LoRA» — свой расчёт параметров адаптера и то, что показал peft. Должны совпасть точно.</x:t>
        </x:is>
      </x:c>
    </x:row>
    <x:row r="15">
      <x:c r="B15" s="2" t="inlineStr">
        <x:is>
          <x:t xml:space="preserve">«Память» — три режима и условия замера. Пик не может быть меньше весов модели.</x:t>
        </x:is>
      </x:c>
    </x:row>
    <x:row r="16">
      <x:c r="B16" s="2" t="inlineStr">
        <x:is>
          <x:t xml:space="preserve">«Ответы» — пять вопросов. Отвечать своими словами, одного-двух предложений хватит.</x:t>
        </x:is>
      </x:c>
    </x:row>
    <x:row r="17">
      <x:c r="B17" s="2" t="inlineStr">
        <x:is>
          <x:t xml:space="preserve"/>
        </x:is>
      </x:c>
    </x:row>
    <x:row r="18">
      <x:c r="B18" s="3" t="inlineStr">
        <x:is>
          <x:t xml:space="preserve">Сдаётся вместе с репозиторием</x:t>
        </x:is>
      </x:c>
    </x:row>
    <x:row r="19">
      <x:c r="B19" s="2" t="inlineStr">
        <x:is>
          <x:t xml:space="preserve">Файл кладёте в docs/ рядом с отчётом. Заполненная таблица — часть отчёта, а не замена ему.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6" customWidth="1"/>
    <x:col min="2" max="2" width="8" customWidth="1"/>
    <x:col min="3" max="3" width="10" customWidth="1"/>
    <x:col min="4" max="4" width="12" customWidth="1"/>
    <x:col min="5" max="5" width="20" customWidth="1"/>
    <x:col min="6" max="6" width="18" customWidth="1"/>
    <x:col min="7" max="7" width="14" customWidth="1"/>
    <x:col min="8" max="8" width="12" customWidth="1"/>
    <x:col min="9" max="9" width="34" customWidth="1"/>
  </x:cols>
  <x:sheetData>
    <x:row r="1">
      <x:c r="A1" s="4" t="inlineStr">
        <x:is>
          <x:t xml:space="preserve">Параметры по модулям</x:t>
        </x:is>
      </x:c>
    </x:row>
    <x:row r="2">
      <x:c r="A2" s="5" t="inlineStr">
        <x:is>
          <x:t xml:space="preserve">Столбцы «строк» и «столбцов» — размеры одной матрицы. «Штук» — сколько таких модулей во всей модели.</x:t>
        </x:is>
      </x:c>
    </x:row>
    <x:row r="4" ht="30" customHeight="1">
      <x:c r="A4" s="6" t="inlineStr">
        <x:is>
          <x:t xml:space="preserve">модуль</x:t>
        </x:is>
      </x:c>
      <x:c r="B4" s="6" t="inlineStr">
        <x:is>
          <x:t xml:space="preserve">штук</x:t>
        </x:is>
      </x:c>
      <x:c r="C4" s="6" t="inlineStr">
        <x:is>
          <x:t xml:space="preserve">строк</x:t>
        </x:is>
      </x:c>
      <x:c r="D4" s="6" t="inlineStr">
        <x:is>
          <x:t xml:space="preserve">столбцов</x:t>
        </x:is>
      </x:c>
      <x:c r="E4" s="6" t="inlineStr">
        <x:is>
          <x:t xml:space="preserve">по формуле
штук × строк × столбцов</x:t>
        </x:is>
      </x:c>
      <x:c r="F4" s="6" t="inlineStr">
        <x:is>
          <x:t xml:space="preserve">по sum(p.numel())</x:t>
        </x:is>
      </x:c>
      <x:c r="G4" s="6" t="inlineStr">
        <x:is>
          <x:t xml:space="preserve">сходится?</x:t>
        </x:is>
      </x:c>
      <x:c r="H4" s="6" t="inlineStr">
        <x:is>
          <x:t xml:space="preserve">доля модели</x:t>
        </x:is>
      </x:c>
      <x:c r="I4" s="6" t="inlineStr">
        <x:is>
          <x:t xml:space="preserve">примечание</x:t>
        </x:is>
      </x:c>
    </x:row>
    <x:row r="5">
      <x:c r="A5" s="7" t="inlineStr">
        <x:is>
          <x:t xml:space="preserve">embed</x:t>
        </x:is>
      </x:c>
      <x:c r="B5" s="8" t="n">
        <x:v>1</x:v>
      </x:c>
      <x:c r="C5" s="8" t="n">
        <x:v>151936</x:v>
      </x:c>
      <x:c r="D5" s="8" t="n">
        <x:v>1024</x:v>
      </x:c>
      <x:c r="E5" s="9" t="n">
        <x:f>IF(COUNT(B5:D5)=3,B5*C5*D5,"")</x:f>
        <x:v>155582464</x:v>
      </x:c>
      <x:c r="F5" s="10" t="n">
        <x:v>155582464</x:v>
      </x:c>
      <x:c r="G5" s="11" t="str">
        <x:f>IF(E5="","—",IF(E5=F5,"сходится","РАСХОЖДЕНИЕ"))</x:f>
        <x:v>сходится</x:v>
      </x:c>
      <x:c r="H5" s="12" t="n">
        <x:f>IF($F$15=0,"",F5/$F$15)</x:f>
        <x:v>0.2610225398570643</x:v>
      </x:c>
      <x:c r="I5" s="13" t="inlineStr">
        <x:is>
          <x:t xml:space="preserve"/>
        </x:is>
      </x:c>
    </x:row>
    <x:row r="6">
      <x:c r="A6" s="7" t="inlineStr">
        <x:is>
          <x:t xml:space="preserve">q_proj</x:t>
        </x:is>
      </x:c>
      <x:c r="B6" s="8" t="n">
        <x:v>28</x:v>
      </x:c>
      <x:c r="C6" s="8" t="n">
        <x:v>2048</x:v>
      </x:c>
      <x:c r="D6" s="8" t="n">
        <x:v>1024</x:v>
      </x:c>
      <x:c r="E6" s="9" t="n">
        <x:f>IF(COUNT(B6:D6)=3,B6*C6*D6,"")</x:f>
        <x:v>58720256</x:v>
      </x:c>
      <x:c r="F6" s="10" t="n">
        <x:v>58720256</x:v>
      </x:c>
      <x:c r="G6" s="11" t="str">
        <x:f>IF(E6="","—",IF(E6=F6,"сходится","РАСХОЖДЕНИЕ"))</x:f>
        <x:v>сходится</x:v>
      </x:c>
      <x:c r="H6" s="12" t="n">
        <x:f>IF($F$15=0,"",F6/$F$15)</x:f>
        <x:v>0.09851566794942276</x:v>
      </x:c>
      <x:c r="I6" s="13" t="inlineStr">
        <x:is>
          <x:t xml:space="preserve"/>
        </x:is>
      </x:c>
    </x:row>
    <x:row r="7">
      <x:c r="A7" s="7" t="inlineStr">
        <x:is>
          <x:t xml:space="preserve">k_proj</x:t>
        </x:is>
      </x:c>
      <x:c r="B7" s="8" t="n">
        <x:v>28</x:v>
      </x:c>
      <x:c r="C7" s="8" t="n">
        <x:v>1024</x:v>
      </x:c>
      <x:c r="D7" s="8" t="n">
        <x:v>1024</x:v>
      </x:c>
      <x:c r="E7" s="9" t="n">
        <x:f>IF(COUNT(B7:D7)=3,B7*C7*D7,"")</x:f>
        <x:v>29360128</x:v>
      </x:c>
      <x:c r="F7" s="10" t="n">
        <x:v>29360128</x:v>
      </x:c>
      <x:c r="G7" s="11" t="str">
        <x:f>IF(E7="","—",IF(E7=F7,"сходится","РАСХОЖДЕНИЕ"))</x:f>
        <x:v>сходится</x:v>
      </x:c>
      <x:c r="H7" s="12" t="n">
        <x:f>IF($F$15=0,"",F7/$F$15)</x:f>
        <x:v>0.04925783397471138</x:v>
      </x:c>
      <x:c r="I7" s="13" t="inlineStr">
        <x:is>
          <x:t xml:space="preserve"/>
        </x:is>
      </x:c>
    </x:row>
    <x:row r="8">
      <x:c r="A8" s="7" t="inlineStr">
        <x:is>
          <x:t xml:space="preserve">v_proj</x:t>
        </x:is>
      </x:c>
      <x:c r="B8" s="8" t="n">
        <x:v>28</x:v>
      </x:c>
      <x:c r="C8" s="8" t="n">
        <x:v>1024</x:v>
      </x:c>
      <x:c r="D8" s="8" t="n">
        <x:v>1024</x:v>
      </x:c>
      <x:c r="E8" s="9" t="n">
        <x:f>IF(COUNT(B8:D8)=3,B8*C8*D8,"")</x:f>
        <x:v>29360128</x:v>
      </x:c>
      <x:c r="F8" s="10" t="n">
        <x:v>29360128</x:v>
      </x:c>
      <x:c r="G8" s="11" t="str">
        <x:f>IF(E8="","—",IF(E8=F8,"сходится","РАСХОЖДЕНИЕ"))</x:f>
        <x:v>сходится</x:v>
      </x:c>
      <x:c r="H8" s="12" t="n">
        <x:f>IF($F$15=0,"",F8/$F$15)</x:f>
        <x:v>0.04925783397471138</x:v>
      </x:c>
      <x:c r="I8" s="13" t="inlineStr">
        <x:is>
          <x:t xml:space="preserve"/>
        </x:is>
      </x:c>
    </x:row>
    <x:row r="9">
      <x:c r="A9" s="7" t="inlineStr">
        <x:is>
          <x:t xml:space="preserve">o_proj</x:t>
        </x:is>
      </x:c>
      <x:c r="B9" s="8" t="n">
        <x:v>28</x:v>
      </x:c>
      <x:c r="C9" s="8" t="n">
        <x:v>1024</x:v>
      </x:c>
      <x:c r="D9" s="8" t="n">
        <x:v>2048</x:v>
      </x:c>
      <x:c r="E9" s="9" t="n">
        <x:f>IF(COUNT(B9:D9)=3,B9*C9*D9,"")</x:f>
        <x:v>58720256</x:v>
      </x:c>
      <x:c r="F9" s="10" t="n">
        <x:v>58720256</x:v>
      </x:c>
      <x:c r="G9" s="11" t="str">
        <x:f>IF(E9="","—",IF(E9=F9,"сходится","РАСХОЖДЕНИЕ"))</x:f>
        <x:v>сходится</x:v>
      </x:c>
      <x:c r="H9" s="12" t="n">
        <x:f>IF($F$15=0,"",F9/$F$15)</x:f>
        <x:v>0.09851566794942276</x:v>
      </x:c>
      <x:c r="I9" s="13" t="inlineStr">
        <x:is>
          <x:t xml:space="preserve"/>
        </x:is>
      </x:c>
    </x:row>
    <x:row r="10">
      <x:c r="A10" s="7" t="inlineStr">
        <x:is>
          <x:t xml:space="preserve">gate_proj</x:t>
        </x:is>
      </x:c>
      <x:c r="B10" s="8" t="n">
        <x:v>28</x:v>
      </x:c>
      <x:c r="C10" s="8" t="n">
        <x:v>3072</x:v>
      </x:c>
      <x:c r="D10" s="8" t="n">
        <x:v>1024</x:v>
      </x:c>
      <x:c r="E10" s="9" t="n">
        <x:f>IF(COUNT(B10:D10)=3,B10*C10*D10,"")</x:f>
        <x:v>88080384</x:v>
      </x:c>
      <x:c r="F10" s="10" t="n">
        <x:v>88080384</x:v>
      </x:c>
      <x:c r="G10" s="11" t="str">
        <x:f>IF(E10="","—",IF(E10=F10,"сходится","РАСХОЖДЕНИЕ"))</x:f>
        <x:v>сходится</x:v>
      </x:c>
      <x:c r="H10" s="12" t="n">
        <x:f>IF($F$15=0,"",F10/$F$15)</x:f>
        <x:v>0.14777350192413413</x:v>
      </x:c>
      <x:c r="I10" s="13" t="inlineStr">
        <x:is>
          <x:t xml:space="preserve"/>
        </x:is>
      </x:c>
    </x:row>
    <x:row r="11">
      <x:c r="A11" s="7" t="inlineStr">
        <x:is>
          <x:t xml:space="preserve">up_proj</x:t>
        </x:is>
      </x:c>
      <x:c r="B11" s="8" t="n">
        <x:v>28</x:v>
      </x:c>
      <x:c r="C11" s="8" t="n">
        <x:v>3072</x:v>
      </x:c>
      <x:c r="D11" s="8" t="n">
        <x:v>1024</x:v>
      </x:c>
      <x:c r="E11" s="9" t="n">
        <x:f>IF(COUNT(B11:D11)=3,B11*C11*D11,"")</x:f>
        <x:v>88080384</x:v>
      </x:c>
      <x:c r="F11" s="10" t="n">
        <x:v>88080384</x:v>
      </x:c>
      <x:c r="G11" s="11" t="str">
        <x:f>IF(E11="","—",IF(E11=F11,"сходится","РАСХОЖДЕНИЕ"))</x:f>
        <x:v>сходится</x:v>
      </x:c>
      <x:c r="H11" s="12" t="n">
        <x:f>IF($F$15=0,"",F11/$F$15)</x:f>
        <x:v>0.14777350192413413</x:v>
      </x:c>
      <x:c r="I11" s="13" t="inlineStr">
        <x:is>
          <x:t xml:space="preserve"/>
        </x:is>
      </x:c>
    </x:row>
    <x:row r="12">
      <x:c r="A12" s="7" t="inlineStr">
        <x:is>
          <x:t xml:space="preserve">down_proj</x:t>
        </x:is>
      </x:c>
      <x:c r="B12" s="8" t="n">
        <x:v>28</x:v>
      </x:c>
      <x:c r="C12" s="8" t="n">
        <x:v>1024</x:v>
      </x:c>
      <x:c r="D12" s="8" t="n">
        <x:v>3072</x:v>
      </x:c>
      <x:c r="E12" s="9" t="n">
        <x:f>IF(COUNT(B12:D12)=3,B12*C12*D12,"")</x:f>
        <x:v>88080384</x:v>
      </x:c>
      <x:c r="F12" s="10" t="n">
        <x:v>88080384</x:v>
      </x:c>
      <x:c r="G12" s="11" t="str">
        <x:f>IF(E12="","—",IF(E12=F12,"сходится","РАСХОЖДЕНИЕ"))</x:f>
        <x:v>сходится</x:v>
      </x:c>
      <x:c r="H12" s="12" t="n">
        <x:f>IF($F$15=0,"",F12/$F$15)</x:f>
        <x:v>0.14777350192413413</x:v>
      </x:c>
      <x:c r="I12" s="13" t="inlineStr">
        <x:is>
          <x:t xml:space="preserve"/>
        </x:is>
      </x:c>
    </x:row>
    <x:row r="13">
      <x:c r="A13" s="7" t="inlineStr">
        <x:is>
          <x:t xml:space="preserve">norm</x:t>
        </x:is>
      </x:c>
      <x:c r="B13" s="8" t="n">
        <x:v>113</x:v>
      </x:c>
      <x:c r="C13" s="8"/>
      <x:c r="D13" s="8"/>
      <x:c r="E13" s="9" t="str">
        <x:f>IF(COUNT(B13:D13)=3,B13*C13*D13,"")</x:f>
      </x:c>
      <x:c r="F13" s="10" t="n">
        <x:v>65536</x:v>
      </x:c>
      <x:c r="G13" s="11" t="str">
        <x:f>IF(E13="","—",IF(E13=F13,"сходится","РАСХОЖДЕНИЕ"))</x:f>
        <x:v>—</x:v>
      </x:c>
      <x:c r="H13" s="12" t="n">
        <x:f>IF($F$15=0,"",F13/$F$15)</x:f>
        <x:v>0.00010995052226498076</x:v>
      </x:c>
      <x:c r="I13" s="13" t="inlineStr">
        <x:is>
          <x:t xml:space="preserve">вектор, а не матрица: столбцов нет</x:t>
        </x:is>
      </x:c>
    </x:row>
    <x:row r="14">
      <x:c r="A14" s="7" t="inlineStr">
        <x:is>
          <x:t xml:space="preserve">lm_head</x:t>
        </x:is>
      </x:c>
      <x:c r="B14" s="8" t="n">
        <x:v>1</x:v>
      </x:c>
      <x:c r="C14" s="8"/>
      <x:c r="D14" s="8"/>
      <x:c r="E14" s="9" t="str">
        <x:f>IF(COUNT(B14:D14)=3,B14*C14*D14,"")</x:f>
      </x:c>
      <x:c r="F14" s="10" t="n">
        <x:v>0</x:v>
      </x:c>
      <x:c r="G14" s="11" t="str">
        <x:f>IF(E14="","—",IF(E14=F14,"сходится","РАСХОЖДЕНИЕ"))</x:f>
        <x:v>—</x:v>
      </x:c>
      <x:c r="H14" s="12" t="n">
        <x:f>IF($F$15=0,"",F14/$F$15)</x:f>
        <x:v>0</x:v>
      </x:c>
      <x:c r="I14" s="13" t="inlineStr">
        <x:is>
          <x:t xml:space="preserve">tie_word_embeddings — своих весов нет</x:t>
        </x:is>
      </x:c>
    </x:row>
    <x:row r="15">
      <x:c r="A15" s="14" t="inlineStr">
        <x:is>
          <x:t xml:space="preserve">ИТОГО</x:t>
        </x:is>
      </x:c>
      <x:c r="F15" s="15" t="n">
        <x:f>SUM(F5:F14)</x:f>
        <x:v>596049920</x:v>
      </x:c>
      <x:c r="H15" s="12" t="n">
        <x:f>IF(F15=0,"",F15/F15)</x:f>
        <x:v>1</x:v>
      </x:c>
    </x:row>
    <x:row r="17">
      <x:c r="A17" s="14" t="inlineStr">
        <x:is>
          <x:t xml:space="preserve">params_total из отчёта</x:t>
        </x:is>
      </x:c>
      <x:c r="F17" s="10" t="n">
        <x:v>596049920</x:v>
      </x:c>
    </x:row>
    <x:row r="18">
      <x:c r="A18" s="14" t="inlineStr">
        <x:is>
          <x:t xml:space="preserve">сумма сошлась?</x:t>
        </x:is>
      </x:c>
      <x:c r="F18" s="11" t="str">
        <x:f>IF(F17="","заполните",IF(F15=F17,"да, сходится","НЕ СХОДИТСЯ"))</x:f>
        <x:v>да, сходится</x:v>
      </x:c>
    </x:row>
  </x:sheetData>
  <x:conditionalFormatting sqref="G5:G14">
    <x:cfRule type="expression" dxfId="0" priority="1">
      <x:formula>EXACT(G5,"РАСХОЖДЕНИЕ")</x:formula>
    </x:cfRule>
    <x:cfRule type="expression" dxfId="1" priority="3">
      <x:formula>EXACT(G5,"сходится")</x:formula>
    </x:cfRule>
  </x:conditionalFormatting>
  <x:conditionalFormatting sqref="F18:F18">
    <x:cfRule type="expression" dxfId="0" priority="2">
      <x:formula>EXACT(F18,"НЕ СХОДИТСЯ")</x:formula>
    </x:cfRule>
    <x:cfRule type="expression" dxfId="1" priority="4">
      <x:formula>EXACT(F18,"да, сходится")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8" customWidth="1"/>
    <x:col min="2" max="2" width="10" customWidth="1"/>
    <x:col min="3" max="3" width="10" customWidth="1"/>
    <x:col min="4" max="4" width="10" customWidth="1"/>
    <x:col min="5" max="5" width="26" customWidth="1"/>
    <x:col min="6" max="6" width="12" customWidth="1"/>
  </x:cols>
  <x:sheetData>
    <x:row r="1">
      <x:c r="A1" s="4" t="inlineStr">
        <x:is>
          <x:t xml:space="preserve">Параметры LoRA: своя формула против peft</x:t>
        </x:is>
      </x:c>
    </x:row>
    <x:row r="2">
      <x:c r="A2" s="5" t="inlineStr">
        <x:is>
          <x:t xml:space="preserve">На каждый целевой модуль адаптер добавляет r × (вход + выход) чисел. Умножаем на число слоёв.</x:t>
        </x:is>
      </x:c>
    </x:row>
    <x:row r="4">
      <x:c r="A4" s="14" t="inlineStr">
        <x:is>
          <x:t xml:space="preserve">r (ранг)</x:t>
        </x:is>
      </x:c>
      <x:c r="B4" s="8" t="n">
        <x:v>8</x:v>
      </x:c>
    </x:row>
    <x:row r="5">
      <x:c r="A5" s="14" t="inlineStr">
        <x:is>
          <x:t xml:space="preserve">lora_alpha</x:t>
        </x:is>
      </x:c>
      <x:c r="B5" s="8" t="n">
        <x:v>16</x:v>
      </x:c>
    </x:row>
    <x:row r="7" ht="30" customHeight="1">
      <x:c r="A7" s="6" t="inlineStr">
        <x:is>
          <x:t xml:space="preserve">целевой модуль</x:t>
        </x:is>
      </x:c>
      <x:c r="B7" s="6" t="inlineStr">
        <x:is>
          <x:t xml:space="preserve">слоёв</x:t>
        </x:is>
      </x:c>
      <x:c r="C7" s="6" t="inlineStr">
        <x:is>
          <x:t xml:space="preserve">вход</x:t>
        </x:is>
      </x:c>
      <x:c r="D7" s="6" t="inlineStr">
        <x:is>
          <x:t xml:space="preserve">выход</x:t>
        </x:is>
      </x:c>
      <x:c r="E7" s="6" t="inlineStr">
        <x:is>
          <x:t xml:space="preserve">параметров адаптера
r × (вход + выход) × слоёв</x:t>
        </x:is>
      </x:c>
      <x:c r="F7" s="6" t="inlineStr">
        <x:is>
          <x:t xml:space="preserve">включён?</x:t>
        </x:is>
      </x:c>
    </x:row>
    <x:row r="8">
      <x:c r="A8" s="7" t="inlineStr">
        <x:is>
          <x:t xml:space="preserve">q_proj</x:t>
        </x:is>
      </x:c>
      <x:c r="B8" s="8" t="n">
        <x:v>28</x:v>
      </x:c>
      <x:c r="C8" s="8" t="n">
        <x:v>1024</x:v>
      </x:c>
      <x:c r="D8" s="8" t="n">
        <x:v>2048</x:v>
      </x:c>
      <x:c r="E8" s="9" t="n">
        <x:f>IF(OR(F8&lt;&gt;"да",COUNT(B8:D8)&lt;3),0,$B$4*(C8+D8)*B8)</x:f>
        <x:v>688128</x:v>
      </x:c>
      <x:c r="F8" s="8" t="str">
        <x:v>да</x:v>
      </x:c>
    </x:row>
    <x:row r="9">
      <x:c r="A9" s="7" t="inlineStr">
        <x:is>
          <x:t xml:space="preserve">k_proj</x:t>
        </x:is>
      </x:c>
      <x:c r="B9" s="8" t="n">
        <x:v>28</x:v>
      </x:c>
      <x:c r="C9" s="8" t="n">
        <x:v>1024</x:v>
      </x:c>
      <x:c r="D9" s="8" t="n">
        <x:v>1024</x:v>
      </x:c>
      <x:c r="E9" s="9" t="n">
        <x:f>IF(OR(F9&lt;&gt;"да",COUNT(B9:D9)&lt;3),0,$B$4*(C9+D9)*B9)</x:f>
        <x:v>0</x:v>
      </x:c>
      <x:c r="F9" s="8" t="str">
        <x:v>нет</x:v>
      </x:c>
    </x:row>
    <x:row r="10">
      <x:c r="A10" s="7" t="inlineStr">
        <x:is>
          <x:t xml:space="preserve">v_proj</x:t>
        </x:is>
      </x:c>
      <x:c r="B10" s="8" t="n">
        <x:v>28</x:v>
      </x:c>
      <x:c r="C10" s="8" t="n">
        <x:v>1024</x:v>
      </x:c>
      <x:c r="D10" s="8" t="n">
        <x:v>1024</x:v>
      </x:c>
      <x:c r="E10" s="9" t="n">
        <x:f>IF(OR(F10&lt;&gt;"да",COUNT(B10:D10)&lt;3),0,$B$4*(C10+D10)*B10)</x:f>
        <x:v>458752</x:v>
      </x:c>
      <x:c r="F10" s="8" t="str">
        <x:v>да</x:v>
      </x:c>
    </x:row>
    <x:row r="11">
      <x:c r="A11" s="7" t="inlineStr">
        <x:is>
          <x:t xml:space="preserve">o_proj</x:t>
        </x:is>
      </x:c>
      <x:c r="B11" s="8" t="n">
        <x:v>28</x:v>
      </x:c>
      <x:c r="C11" s="8" t="n">
        <x:v>2048</x:v>
      </x:c>
      <x:c r="D11" s="8" t="n">
        <x:v>1024</x:v>
      </x:c>
      <x:c r="E11" s="9" t="n">
        <x:f>IF(OR(F11&lt;&gt;"да",COUNT(B11:D11)&lt;3),0,$B$4*(C11+D11)*B11)</x:f>
        <x:v>0</x:v>
      </x:c>
      <x:c r="F11" s="8" t="str">
        <x:v>нет</x:v>
      </x:c>
    </x:row>
    <x:row r="12">
      <x:c r="A12" s="7" t="inlineStr">
        <x:is>
          <x:t xml:space="preserve">gate_proj</x:t>
        </x:is>
      </x:c>
      <x:c r="B12" s="8" t="n">
        <x:v>28</x:v>
      </x:c>
      <x:c r="C12" s="8" t="n">
        <x:v>1024</x:v>
      </x:c>
      <x:c r="D12" s="8" t="n">
        <x:v>3072</x:v>
      </x:c>
      <x:c r="E12" s="9" t="n">
        <x:f>IF(OR(F12&lt;&gt;"да",COUNT(B12:D12)&lt;3),0,$B$4*(C12+D12)*B12)</x:f>
        <x:v>0</x:v>
      </x:c>
      <x:c r="F12" s="8" t="str">
        <x:v>нет</x:v>
      </x:c>
    </x:row>
    <x:row r="13">
      <x:c r="A13" s="7" t="inlineStr">
        <x:is>
          <x:t xml:space="preserve">up_proj</x:t>
        </x:is>
      </x:c>
      <x:c r="B13" s="8" t="n">
        <x:v>28</x:v>
      </x:c>
      <x:c r="C13" s="8" t="n">
        <x:v>1024</x:v>
      </x:c>
      <x:c r="D13" s="8" t="n">
        <x:v>3072</x:v>
      </x:c>
      <x:c r="E13" s="9" t="n">
        <x:f>IF(OR(F13&lt;&gt;"да",COUNT(B13:D13)&lt;3),0,$B$4*(C13+D13)*B13)</x:f>
        <x:v>0</x:v>
      </x:c>
      <x:c r="F13" s="8" t="str">
        <x:v>нет</x:v>
      </x:c>
    </x:row>
    <x:row r="14">
      <x:c r="A14" s="7" t="inlineStr">
        <x:is>
          <x:t xml:space="preserve">down_proj</x:t>
        </x:is>
      </x:c>
      <x:c r="B14" s="8" t="n">
        <x:v>28</x:v>
      </x:c>
      <x:c r="C14" s="8" t="n">
        <x:v>3072</x:v>
      </x:c>
      <x:c r="D14" s="8" t="n">
        <x:v>1024</x:v>
      </x:c>
      <x:c r="E14" s="9" t="n">
        <x:f>IF(OR(F14&lt;&gt;"да",COUNT(B14:D14)&lt;3),0,$B$4*(C14+D14)*B14)</x:f>
        <x:v>0</x:v>
      </x:c>
      <x:c r="F14" s="8" t="str">
        <x:v>нет</x:v>
      </x:c>
    </x:row>
    <x:row r="15">
      <x:c r="A15" s="14" t="inlineStr">
        <x:is>
          <x:t xml:space="preserve">по вашей формуле</x:t>
        </x:is>
      </x:c>
      <x:c r="E15" s="15" t="n">
        <x:f>SUM(E8:E14)</x:f>
        <x:v>1146880</x:v>
      </x:c>
    </x:row>
    <x:row r="16">
      <x:c r="A16" s="14" t="inlineStr">
        <x:is>
          <x:t xml:space="preserve">что показал peft</x:t>
        </x:is>
      </x:c>
      <x:c r="E16" s="10" t="n">
        <x:v>1146880</x:v>
      </x:c>
    </x:row>
    <x:row r="17">
      <x:c r="A17" s="14" t="inlineStr">
        <x:is>
          <x:t xml:space="preserve">совпало?</x:t>
        </x:is>
      </x:c>
      <x:c r="E17" s="11" t="str">
        <x:f>IF(E16="","заполните",IF(E15=E16,"да, совпало","НЕ СОВПАЛО"))</x:f>
        <x:v>да, совпало</x:v>
      </x:c>
    </x:row>
    <x:row r="19">
      <x:c r="A19" s="14" t="inlineStr">
        <x:is>
          <x:t xml:space="preserve">параметров базовой модели</x:t>
        </x:is>
      </x:c>
      <x:c r="E19" s="10" t="n">
        <x:v>596049920</x:v>
      </x:c>
    </x:row>
    <x:row r="20">
      <x:c r="A20" s="14" t="inlineStr">
        <x:is>
          <x:t xml:space="preserve">доля обучаемых</x:t>
        </x:is>
      </x:c>
      <x:c r="E20" s="16" t="n">
        <x:f>IF(E19="","",E15/E19)</x:f>
        <x:v>0.0019241341396371632</x:v>
      </x:c>
    </x:row>
  </x:sheetData>
  <x:conditionalFormatting sqref="E17:E17">
    <x:cfRule type="expression" dxfId="0" priority="1">
      <x:formula>EXACT(E17,"НЕ СОВПАЛО")</x:formula>
    </x:cfRule>
    <x:cfRule type="expression" dxfId="1" priority="2">
      <x:formula>EXACT(E17,"да, совпало")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2" customWidth="1"/>
    <x:col min="2" max="2" width="34" customWidth="1"/>
    <x:col min="3" max="3" width="16" customWidth="1"/>
    <x:col min="4" max="4" width="12" customWidth="1"/>
    <x:col min="5" max="5" width="20" customWidth="1"/>
  </x:cols>
  <x:sheetData>
    <x:row r="1">
      <x:c r="A1" s="4" t="inlineStr">
        <x:is>
          <x:t xml:space="preserve">Память в трёх режимах</x:t>
        </x:is>
      </x:c>
    </x:row>
    <x:row r="2">
      <x:c r="A2" s="5" t="inlineStr">
        <x:is>
          <x:t xml:space="preserve">Пик памяти не может быть меньше весов модели ни в одном режиме. Если меньше — измерено не то.</x:t>
        </x:is>
      </x:c>
    </x:row>
    <x:row r="4" ht="30" customHeight="1">
      <x:c r="A4" s="6" t="inlineStr">
        <x:is>
          <x:t xml:space="preserve">режим</x:t>
        </x:is>
      </x:c>
      <x:c r="B4" s="6" t="inlineStr">
        <x:is>
          <x:t xml:space="preserve">пик, МБ</x:t>
        </x:is>
      </x:c>
      <x:c r="C4" s="6" t="inlineStr">
        <x:is>
          <x:t xml:space="preserve">× к инференсу</x:t>
        </x:is>
      </x:c>
      <x:c r="D4" s="6" t="inlineStr">
        <x:is>
          <x:t xml:space="preserve">секунд</x:t>
        </x:is>
      </x:c>
      <x:c r="E4" s="6" t="inlineStr">
        <x:is>
          <x:t xml:space="preserve">пик больше весов?</x:t>
        </x:is>
      </x:c>
    </x:row>
    <x:row r="5">
      <x:c r="A5" s="17" t="inlineStr">
        <x:is>
          <x:t xml:space="preserve">инференс</x:t>
        </x:is>
      </x:c>
      <x:c r="B5" s="18" t="n">
        <x:v>1854.1</x:v>
      </x:c>
      <x:c r="C5" s="19" t="n">
        <x:f>IF($B$5="","",B5/$B$5)</x:f>
        <x:v>1</x:v>
      </x:c>
      <x:c r="D5" s="20" t="n">
        <x:v>18.2</x:v>
      </x:c>
      <x:c r="E5" s="11" t="str">
        <x:f>IF(OR(B5="",$B$14=""),"",IF(B5&gt;=$B$14,"да","МЕНЬШЕ ВЕСОВ"))</x:f>
        <x:v>да</x:v>
      </x:c>
    </x:row>
    <x:row r="6">
      <x:c r="A6" s="17" t="inlineStr">
        <x:is>
          <x:t xml:space="preserve">full fine-tune</x:t>
        </x:is>
      </x:c>
      <x:c r="B6" s="18" t="n">
        <x:v>5794.4</x:v>
      </x:c>
      <x:c r="C6" s="19" t="n">
        <x:f>IF($B$5="","",B6/$B$5)</x:f>
        <x:v>3.1251820290167736</x:v>
      </x:c>
      <x:c r="D6" s="20" t="n">
        <x:v>1231</x:v>
      </x:c>
      <x:c r="E6" s="11" t="str">
        <x:f>IF(OR(B6="",$B$14=""),"",IF(B6&gt;=$B$14,"да","МЕНЬШЕ ВЕСОВ"))</x:f>
        <x:v>да</x:v>
      </x:c>
    </x:row>
    <x:row r="7">
      <x:c r="A7" s="17" t="inlineStr">
        <x:is>
          <x:t xml:space="preserve">LoRA (r=8, q/v)</x:t>
        </x:is>
      </x:c>
      <x:c r="B7" s="18" t="n">
        <x:v>2538.9</x:v>
      </x:c>
      <x:c r="C7" s="19" t="n">
        <x:f>IF($B$5="","",B7/$B$5)</x:f>
        <x:v>1.3693436168491453</x:v>
      </x:c>
      <x:c r="D7" s="20" t="n">
        <x:v>1070.1</x:v>
      </x:c>
      <x:c r="E7" s="11" t="str">
        <x:f>IF(OR(B7="",$B$14=""),"",IF(B7&gt;=$B$14,"да","МЕНЬШЕ ВЕСОВ"))</x:f>
        <x:v>да</x:v>
      </x:c>
    </x:row>
    <x:row r="9">
      <x:c r="A9" s="14" t="inlineStr">
        <x:is>
          <x:t xml:space="preserve">Проверка на вменяемость</x:t>
        </x:is>
      </x:c>
    </x:row>
    <x:row r="10">
      <x:c r="A10" s="17" t="inlineStr">
        <x:is>
          <x:t xml:space="preserve">параметров в модели</x:t>
        </x:is>
      </x:c>
      <x:c r="B10" s="10" t="n">
        <x:v>596049920</x:v>
      </x:c>
    </x:row>
    <x:row r="11">
      <x:c r="A11" s="17" t="inlineStr">
        <x:is>
          <x:t xml:space="preserve">байт на число (bf16 = 2)</x:t>
        </x:is>
      </x:c>
      <x:c r="B11" s="8" t="n">
        <x:v>2</x:v>
      </x:c>
    </x:row>
    <x:row r="13">
      <x:c r="A13" s="14" t="inlineStr">
        <x:is>
          <x:t xml:space="preserve">веса модели, МБ</x:t>
        </x:is>
      </x:c>
    </x:row>
    <x:row r="14">
      <x:c r="A14" s="21" t="n"/>
      <x:c r="B14" s="9" t="n">
        <x:f>IF(COUNT(B10:B11)&lt;2,"",B10*B11/1048576)</x:f>
        <x:v>1136.875</x:v>
      </x:c>
    </x:row>
    <x:row r="16">
      <x:c r="A16" s="14" t="inlineStr">
        <x:is>
          <x:t xml:space="preserve">Условия замера — без них числа ничего не значат</x:t>
        </x:is>
      </x:c>
    </x:row>
    <x:row r="17">
      <x:c r="A17" s="17" t="inlineStr">
        <x:is>
          <x:t xml:space="preserve">устройство (cpu / cuda / mps)</x:t>
        </x:is>
      </x:c>
      <x:c r="B17" s="22" t="str">
        <x:v>cpu</x:v>
      </x:c>
    </x:row>
    <x:row r="18">
      <x:c r="A18" s="17" t="inlineStr">
        <x:is>
          <x:t xml:space="preserve">чем меряли память</x:t>
        </x:is>
      </x:c>
      <x:c r="B18" s="22" t="str">
        <x:v>peak_wset</x:v>
      </x:c>
    </x:row>
    <x:row r="19">
      <x:c r="A19" s="17" t="inlineStr">
        <x:is>
          <x:t xml:space="preserve">dtype</x:t>
        </x:is>
      </x:c>
      <x:c r="B19" s="22" t="str">
        <x:v>bfloat16</x:v>
      </x:c>
    </x:row>
    <x:row r="20">
      <x:c r="A20" s="17" t="inlineStr">
        <x:is>
          <x:t xml:space="preserve">seq_len</x:t>
        </x:is>
      </x:c>
      <x:c r="B20" s="22" t="n">
        <x:v>256</x:v>
      </x:c>
    </x:row>
    <x:row r="21">
      <x:c r="A21" s="17" t="inlineStr">
        <x:is>
          <x:t xml:space="preserve">batch_size</x:t>
        </x:is>
      </x:c>
      <x:c r="B21" s="22" t="n">
        <x:v>1</x:v>
      </x:c>
    </x:row>
    <x:row r="22">
      <x:c r="A22" s="17" t="inlineStr">
        <x:is>
          <x:t xml:space="preserve">сколько раз повторяли замер</x:t>
        </x:is>
      </x:c>
      <x:c r="B22" s="22" t="n">
        <x:v>1</x:v>
      </x:c>
    </x:row>
    <x:row r="23">
      <x:c r="A23" s="17" t="inlineStr">
        <x:is>
          <x:t xml:space="preserve">что именно в шаге (forward / +backward / +optimizer)</x:t>
        </x:is>
      </x:c>
      <x:c r="B23" s="22" t="str">
        <x:v>инференс: forward; full FT: forward + backward + AdamW; LoRA: forward + backward + AdamW по адаптерам</x:v>
      </x:c>
    </x:row>
    <x:row r="24">
      <x:c r="A24" s="17" t="inlineStr">
        <x:is>
          <x:t xml:space="preserve">модель</x:t>
        </x:is>
      </x:c>
      <x:c r="B24" s="22" t="str">
        <x:v>Qwen/Qwen3-0.6B</x:v>
      </x:c>
    </x:row>
  </x:sheetData>
  <x:mergeCells>
    <x:mergeCell ref="A13:A14"/>
  </x:mergeCells>
  <x:conditionalFormatting sqref="E5:E7">
    <x:cfRule type="expression" dxfId="0" priority="1">
      <x:formula>EXACT(E5,"МЕНЬШЕ ВЕСОВ")</x:formula>
    </x:cfRule>
    <x:cfRule type="expression" dxfId="1" priority="2">
      <x:formula>EXACT(E5,"да")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4" customWidth="1"/>
    <x:col min="2" max="2" width="58" customWidth="1"/>
    <x:col min="3" max="3" width="80" customWidth="1"/>
  </x:cols>
  <x:sheetData>
    <x:row r="1">
      <x:c r="A1" s="4" t="inlineStr">
        <x:is>
          <x:t xml:space="preserve">Почему ваши числа именно такие</x:t>
        </x:is>
      </x:c>
    </x:row>
    <x:row r="2">
      <x:c r="A2" s="5" t="inlineStr">
        <x:is>
          <x:t xml:space="preserve">Своими словами. Одного-двух предложений достаточно — но они должны быть про ваши числа, а не про чужие.</x:t>
        </x:is>
      </x:c>
    </x:row>
    <x:row r="4" ht="30" customHeight="1">
      <x:c r="A4" s="6" t="inlineStr">
        <x:is>
          <x:t xml:space="preserve"/>
        </x:is>
      </x:c>
      <x:c r="B4" s="6" t="inlineStr">
        <x:is>
          <x:t xml:space="preserve">вопрос</x:t>
        </x:is>
      </x:c>
      <x:c r="C4" s="6" t="inlineStr">
        <x:is>
          <x:t xml:space="preserve">ваш ответ</x:t>
        </x:is>
      </x:c>
    </x:row>
    <x:row r="5" ht="58" customHeight="1">
      <x:c r="A5" s="14" t="n">
        <x:v>1</x:v>
      </x:c>
      <x:c r="B5" s="23" t="inlineStr">
        <x:is>
          <x:t xml:space="preserve">Почему lm_head в вашей таблице весит столько, сколько весит?</x:t>
        </x:is>
      </x:c>
      <x:c r="C5" s="24" t="str">
        <x:v>lm_head имеет 0 собственных параметров: при tie_word_embeddings=True он использует тот же тензор 151936×1024, что и embed_tokens. Повторно 155 582 464 параметра в итог не добавляются.</x:v>
      </x:c>
    </x:row>
    <x:row r="6" ht="58" customHeight="1">
      <x:c r="A6" s="14" t="n">
        <x:v>2</x:v>
      </x:c>
      <x:c r="B6" s="23" t="inlineStr">
        <x:is>
          <x:t xml:space="preserve">Почему k_proj вдвое меньше q_proj?</x:t>
        </x:is>
      </x:c>
      <x:c r="C6" s="24" t="str">
        <x:v>В Qwen3 используется GQA: 16 голов запросов и только 8 KV-голов. Поэтому q_proj выдаёт 2048 признаков, а k_proj — 1024, и его 29 360 128 параметров ровно вдвое меньше.</x:v>
      </x:c>
    </x:row>
    <x:row r="7" ht="58" customHeight="1">
      <x:c r="A7" s="14" t="n">
        <x:v>3</x:v>
      </x:c>
      <x:c r="B7" s="23" t="inlineStr">
        <x:is>
          <x:t xml:space="preserve">Почему MLP занимает большую долю модели, чем всё внимание вместе?</x:t>
        </x:is>
      </x:c>
      <x:c r="C7" s="24" t="str">
        <x:v>В каждом из 28 блоков MLP содержит три большие матрицы с intermediate_size=3072. Вместе gate/up/down дают 264 241 152 параметра (44,33%), тогда как q/k/v/o — 176 160 768 (29,55%).</x:v>
      </x:c>
    </x:row>
    <x:row r="8" ht="58" customHeight="1">
      <x:c r="A8" s="14" t="n">
        <x:v>4</x:v>
      </x:c>
      <x:c r="B8" s="23" t="inlineStr">
        <x:is>
          <x:t xml:space="preserve">Почему при 0,192% обучаемых параметров LoRA экономит намного больше памяти, чем 0,192%?</x:t>
        </x:is>
      </x:c>
      <x:c r="C8" s="24" t="str">
        <x:v>LoRA обучает 1 146 880 параметров, то есть 0,192% базы, но экономит ещё и память градиентов и двух состояний AdamW для остальных 596 млн параметров. Поэтому пик снизился с 5794,4 до 2538,9 МБ, а не всего на 0,192%.</x:v>
      </x:c>
    </x:row>
    <x:row r="9" ht="58" customHeight="1">
      <x:c r="A9" s="14" t="n">
        <x:v>5</x:v>
      </x:c>
      <x:c r="B9" s="23" t="inlineStr">
        <x:is>
          <x:t xml:space="preserve">Ваша метрика памяти — какая и почему именно она подходит вашему устройству?</x:t>
        </x:is>
      </x:c>
      <x:c r="C9" s="24" t="str">
        <x:v>На CPU использована peak_wset — системный high-water mark рабочей памяти процесса Windows. Тензоры находятся в обычной RAM, поэтому эта метрика учитывает веса, активации, градиенты и состояния оптимизатора.</x:v>
      </x:c>
    </x:row>
  </x:sheetData>
  <x:pageMargins left="0.7" right="0.7" top="0.75" bottom="0.75" header="0.3" footer="0.3"/>
</x:worksheet>
</file>